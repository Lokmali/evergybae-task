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Calculator" sheetId="1" state="visible" r:id="rId1"/>
    <sheet name="Automation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YY"/>
    <numFmt numFmtId="165" formatCode="0.00&quot; kW&quot;"/>
    <numFmt numFmtId="166" formatCode="#,##0&quot; kWh&quot;"/>
    <numFmt numFmtId="167" formatCode="₹#,##0.00"/>
    <numFmt numFmtId="168" formatCode="0.0&quot; yrs&quot;"/>
    <numFmt numFmtId="169" formatCode="0.00&quot; t/year&quot;"/>
  </numFmts>
  <fonts count="9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FFFFFF"/>
      <sz val="12"/>
    </font>
    <font>
      <b val="1"/>
      <sz val="10"/>
    </font>
    <font>
      <b val="1"/>
      <color rgb="00166534"/>
    </font>
    <font>
      <b val="1"/>
      <color rgb="00FFFFFF"/>
      <sz val="11"/>
    </font>
    <font>
      <sz val="10"/>
    </font>
    <font>
      <b val="1"/>
      <color rgb="00166534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49" fontId="0" fillId="4" borderId="1" applyAlignment="1" applyProtection="1" pivotButton="0" quotePrefix="0" xfId="0">
      <alignment horizontal="left" vertical="center" wrapText="1"/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164" fontId="0" fillId="4" borderId="1" applyAlignment="1" applyProtection="1" pivotButton="0" quotePrefix="0" xfId="0">
      <alignment horizontal="left" vertical="center" wrapText="1"/>
      <protection locked="0" hidden="0"/>
    </xf>
    <xf numFmtId="2" fontId="0" fillId="4" borderId="1" applyAlignment="1" applyProtection="1" pivotButton="0" quotePrefix="0" xfId="0">
      <alignment horizontal="left" vertical="center" wrapText="1"/>
      <protection locked="0" hidden="0"/>
    </xf>
    <xf numFmtId="166" fontId="0" fillId="4" borderId="1" applyAlignment="1" applyProtection="1" pivotButton="0" quotePrefix="0" xfId="0">
      <alignment horizontal="left" vertical="center" wrapText="1"/>
      <protection locked="0" hidden="0"/>
    </xf>
    <xf numFmtId="167" fontId="0" fillId="4" borderId="1" applyAlignment="1" applyProtection="1" pivotButton="0" quotePrefix="0" xfId="0">
      <alignment horizontal="left" vertical="center" wrapText="1"/>
      <protection locked="0" hidden="0"/>
    </xf>
    <xf numFmtId="166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left" vertical="center"/>
    </xf>
    <xf numFmtId="168" fontId="4" fillId="5" borderId="1" applyAlignment="1" pivotButton="0" quotePrefix="0" xfId="0">
      <alignment horizontal="left" vertical="center"/>
    </xf>
    <xf numFmtId="169" fontId="4" fillId="5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Energybae AI</author>
  </authors>
  <commentList>
    <comment ref="B4" authorId="0" shapeId="0">
      <text>
        <t>Consumer Name
Expected: Text
Example: Rajesh Kumar Sharma</t>
      </text>
    </comment>
    <comment ref="D4" authorId="0" shapeId="0">
      <text>
        <t>Contract Load
Expected: Numeric (kW)
Example: 5.00</t>
      </text>
    </comment>
    <comment ref="B5" authorId="0" shapeId="0">
      <text>
        <t>Consumer Number
Expected: Alphanumeric
Example: 123456789012</t>
      </text>
    </comment>
    <comment ref="D5" authorId="0" shapeId="0">
      <text>
        <t>Connected Load
Expected: Numeric (kW)
Example: 4.50</t>
      </text>
    </comment>
    <comment ref="B6" authorId="0" shapeId="0">
      <text>
        <t>Billing Month
Expected: Text
Example: Jan-2025</t>
      </text>
    </comment>
    <comment ref="D6" authorId="0" shapeId="0">
      <text>
        <t>Sanctioned Load
Expected: Numeric (kW)
Example: 5.00</t>
      </text>
    </comment>
    <comment ref="B7" authorId="0" shapeId="0">
      <text>
        <t>Billing Period
Expected: Text
Example: 01/12/2024 to 31/12/2024</t>
      </text>
    </comment>
    <comment ref="D7" authorId="0" shapeId="0">
      <text>
        <t>Voltage
Expected: Text
Example: 230V</t>
      </text>
    </comment>
    <comment ref="B8" authorId="0" shapeId="0">
      <text>
        <t>Bill Date
Expected: Date
Example: 05-Jan-2025</t>
      </text>
    </comment>
    <comment ref="D8" authorId="0" shapeId="0">
      <text>
        <t>Power Factor
Expected: Numeric
Example: 0.98</t>
      </text>
    </comment>
    <comment ref="B9" authorId="0" shapeId="0">
      <text>
        <t>Due Date
Expected: Date
Example: 20-Jan-2025</t>
      </text>
    </comment>
    <comment ref="D9" authorId="0" shapeId="0">
      <text>
        <t>Billing Cycle
Expected: Text
Example: Monthly</t>
      </text>
    </comment>
    <comment ref="B10" authorId="0" shapeId="0">
      <text>
        <t>Address
Expected: Text
Example: Flat 12, Pune, MH 411001</t>
      </text>
    </comment>
    <comment ref="D10" authorId="0" shapeId="0">
      <text>
        <t>GST Number
Expected: Alphanumeric
Example: 27AABCU9603R1ZM</t>
      </text>
    </comment>
    <comment ref="B11" authorId="0" shapeId="0">
      <text>
        <t>Tariff Category
Expected: Text
Example: LT-I Domestic</t>
      </text>
    </comment>
    <comment ref="D11" authorId="0" shapeId="0">
      <text>
        <t>Previous Reading
Expected: Numeric
Example: 12500</t>
      </text>
    </comment>
    <comment ref="B12" authorId="0" shapeId="0">
      <text>
        <t>Meter Number
Expected: Alphanumeric
Example: MH12345678</t>
      </text>
    </comment>
    <comment ref="D12" authorId="0" shapeId="0">
      <text>
        <t>Units Consumed
Expected: Numeric
Example: 450</t>
      </text>
    </comment>
    <comment ref="B13" authorId="0" shapeId="0">
      <text>
        <t>Division
Expected: Text
Example: Pune Rural</t>
      </text>
    </comment>
    <comment ref="D13" authorId="0" shapeId="0">
      <text>
        <t>Current Reading
Expected: Numeric
Example: 12950</t>
      </text>
    </comment>
    <comment ref="B14" authorId="0" shapeId="0">
      <text>
        <t>Sub Division
Expected: Text
Example: Haveli</t>
      </text>
    </comment>
    <comment ref="D14" authorId="0" shapeId="0">
      <text>
        <t>Bill Amount
Expected: Currency (INR)
Example: 3200</t>
      </text>
    </comment>
    <comment ref="B15" authorId="0" shapeId="0">
      <text>
        <t>Tariff Code
Expected: Text
Example: 010</t>
      </text>
    </comment>
    <comment ref="D15" authorId="0" shapeId="0">
      <text>
        <t>Fixed Charges
Expected: Currency (INR)
Example: 150</t>
      </text>
    </comment>
    <comment ref="D16" authorId="0" shapeId="0">
      <text>
        <t>Energy Charges
Expected: Currency (INR)
Example: 2800</t>
      </text>
    </comment>
    <comment ref="D17" authorId="0" shapeId="0">
      <text>
        <t>Fuel Adjustment
Expected: Currency (INR)
Example: 120</t>
      </text>
    </comment>
    <comment ref="D18" authorId="0" shapeId="0">
      <text>
        <t>Electricity Duty
Expected: Currency (INR)
Example: 80</t>
      </text>
    </comment>
    <comment ref="D19" authorId="0" shapeId="0">
      <text>
        <t>Tax on Sale
Expected: Currency (INR)
Example: 50</t>
      </text>
    </comment>
    <comment ref="B22" authorId="0" shapeId="0">
      <text>
        <t>Avg Monthly Consumption (kWh)
Formula cell — do not edit.
Mirrors units consumed for solar sizing</t>
      </text>
    </comment>
    <comment ref="B23" authorId="0" shapeId="0">
      <text>
        <t>Recommended Solar Capacity (kW)
Formula cell — do not edit.
Capacity = monthly kWh / 120 (standard rule of thumb)</t>
      </text>
    </comment>
    <comment ref="B24" authorId="0" shapeId="0">
      <text>
        <t>Estimated Annual Savings (₹)
Formula cell — do not edit.
Annual savings = monthly bill × 12</t>
      </text>
    </comment>
    <comment ref="B25" authorId="0" shapeId="0">
      <text>
        <t>Payback Period (Years)
Formula cell — do not edit.
Payback = system cost (₹50k/kW) / annual savings</t>
      </text>
    </comment>
    <comment ref="B26" authorId="0" shapeId="0">
      <text>
        <t>CO₂ Offset (tons/year)
Formula cell — do not edit.
CO₂ offset using 0.82 kg/kWh grid factor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22" customWidth="1" min="4" max="4"/>
    <col width="4" customWidth="1" min="5" max="5"/>
  </cols>
  <sheetData>
    <row r="1" ht="28" customHeight="1">
      <c r="A1" s="1" t="inlineStr">
        <is>
          <t>Energybae AI — Solar Load Calculator</t>
        </is>
      </c>
    </row>
    <row r="3" ht="22" customHeight="1">
      <c r="A3" s="2" t="inlineStr">
        <is>
          <t>Consumer Details</t>
        </is>
      </c>
      <c r="C3" s="2" t="inlineStr">
        <is>
          <t>Load &amp; Technical Details</t>
        </is>
      </c>
    </row>
    <row r="4">
      <c r="A4" s="3" t="inlineStr">
        <is>
          <t>Consumer Name:</t>
        </is>
      </c>
      <c r="B4" s="4" t="n"/>
      <c r="C4" s="3" t="inlineStr">
        <is>
          <t>Contract Load (kW):</t>
        </is>
      </c>
      <c r="D4" s="5" t="n"/>
    </row>
    <row r="5">
      <c r="A5" s="3" t="inlineStr">
        <is>
          <t>Consumer Number:</t>
        </is>
      </c>
      <c r="B5" s="4" t="n"/>
      <c r="C5" s="3" t="inlineStr">
        <is>
          <t>Connected Load (kW):</t>
        </is>
      </c>
      <c r="D5" s="5" t="n"/>
    </row>
    <row r="6">
      <c r="A6" s="3" t="inlineStr">
        <is>
          <t>Billing Month:</t>
        </is>
      </c>
      <c r="B6" s="4" t="n"/>
      <c r="C6" s="3" t="inlineStr">
        <is>
          <t>Sanctioned Load (kW):</t>
        </is>
      </c>
      <c r="D6" s="5" t="n"/>
    </row>
    <row r="7">
      <c r="A7" s="3" t="inlineStr">
        <is>
          <t>Billing Period:</t>
        </is>
      </c>
      <c r="B7" s="4" t="n"/>
      <c r="C7" s="3" t="inlineStr">
        <is>
          <t>Voltage:</t>
        </is>
      </c>
      <c r="D7" s="4" t="n"/>
    </row>
    <row r="8">
      <c r="A8" s="3" t="inlineStr">
        <is>
          <t>Bill Date:</t>
        </is>
      </c>
      <c r="B8" s="6" t="n"/>
      <c r="C8" s="3" t="inlineStr">
        <is>
          <t>Power Factor:</t>
        </is>
      </c>
      <c r="D8" s="7" t="n"/>
    </row>
    <row r="9">
      <c r="A9" s="3" t="inlineStr">
        <is>
          <t>Due Date:</t>
        </is>
      </c>
      <c r="B9" s="6" t="n"/>
      <c r="C9" s="3" t="inlineStr">
        <is>
          <t>Billing Cycle:</t>
        </is>
      </c>
      <c r="D9" s="4" t="n"/>
    </row>
    <row r="10">
      <c r="A10" s="3" t="inlineStr">
        <is>
          <t>Address:</t>
        </is>
      </c>
      <c r="B10" s="4" t="n"/>
      <c r="C10" s="3" t="inlineStr">
        <is>
          <t>GST Number:</t>
        </is>
      </c>
      <c r="D10" s="4" t="n"/>
    </row>
    <row r="11">
      <c r="A11" s="3" t="inlineStr">
        <is>
          <t>Tariff Category:</t>
        </is>
      </c>
      <c r="B11" s="4" t="n"/>
      <c r="C11" s="3" t="inlineStr">
        <is>
          <t>Previous Reading:</t>
        </is>
      </c>
      <c r="D11" s="8" t="n"/>
    </row>
    <row r="12">
      <c r="A12" s="3" t="inlineStr">
        <is>
          <t>Meter Number:</t>
        </is>
      </c>
      <c r="B12" s="4" t="n"/>
      <c r="C12" s="3" t="inlineStr">
        <is>
          <t>Units Consumed (kWh):</t>
        </is>
      </c>
      <c r="D12" s="8" t="n"/>
    </row>
    <row r="13">
      <c r="A13" s="3" t="inlineStr">
        <is>
          <t>Division:</t>
        </is>
      </c>
      <c r="B13" s="4" t="n"/>
      <c r="C13" s="3" t="inlineStr">
        <is>
          <t>Current Reading:</t>
        </is>
      </c>
      <c r="D13" s="8" t="n"/>
    </row>
    <row r="14">
      <c r="A14" s="3" t="inlineStr">
        <is>
          <t>Sub Division:</t>
        </is>
      </c>
      <c r="B14" s="4" t="n"/>
      <c r="C14" s="3" t="inlineStr">
        <is>
          <t>Bill Amount (₹):</t>
        </is>
      </c>
      <c r="D14" s="9" t="n"/>
    </row>
    <row r="15">
      <c r="A15" s="3" t="inlineStr">
        <is>
          <t>Tariff Code:</t>
        </is>
      </c>
      <c r="B15" s="4" t="n"/>
      <c r="C15" s="3" t="inlineStr">
        <is>
          <t>Fixed Charges:</t>
        </is>
      </c>
      <c r="D15" s="9" t="n"/>
    </row>
    <row r="16">
      <c r="C16" s="3" t="inlineStr">
        <is>
          <t>Energy Charges:</t>
        </is>
      </c>
      <c r="D16" s="9" t="n"/>
    </row>
    <row r="17">
      <c r="C17" s="3" t="inlineStr">
        <is>
          <t>Fuel Adjustment:</t>
        </is>
      </c>
      <c r="D17" s="9" t="n"/>
    </row>
    <row r="18">
      <c r="C18" s="3" t="inlineStr">
        <is>
          <t>Electricity Duty:</t>
        </is>
      </c>
      <c r="D18" s="9" t="n"/>
    </row>
    <row r="19">
      <c r="C19" s="3" t="inlineStr">
        <is>
          <t>Tax on Sale:</t>
        </is>
      </c>
      <c r="D19" s="9" t="n"/>
    </row>
    <row r="21" ht="22" customHeight="1">
      <c r="A21" s="2" t="inlineStr">
        <is>
          <t>Solar Calculation Results</t>
        </is>
      </c>
    </row>
    <row r="22">
      <c r="A22" s="3" t="inlineStr">
        <is>
          <t>Avg Monthly Consumption (kWh)</t>
        </is>
      </c>
      <c r="B22" s="10">
        <f>IF(D12="","",D12)</f>
        <v/>
      </c>
    </row>
    <row r="23">
      <c r="A23" s="3" t="inlineStr">
        <is>
          <t>Recommended Solar Capacity (kW)</t>
        </is>
      </c>
      <c r="B23" s="11">
        <f>IF(B22="","",ROUND(B22/120,2))</f>
        <v/>
      </c>
    </row>
    <row r="24">
      <c r="A24" s="3" t="inlineStr">
        <is>
          <t>Estimated Annual Savings (₹)</t>
        </is>
      </c>
      <c r="B24" s="12">
        <f>IF(OR(D12="",D14=""),"",D14*12)</f>
        <v/>
      </c>
    </row>
    <row r="25">
      <c r="A25" s="3" t="inlineStr">
        <is>
          <t>Payback Period (Years)</t>
        </is>
      </c>
      <c r="B25" s="13">
        <f>IF(B24="","",ROUND((B23*50000)/B24,1))</f>
        <v/>
      </c>
    </row>
    <row r="26">
      <c r="A26" s="3" t="inlineStr">
        <is>
          <t>CO₂ Offset (tons/year)</t>
        </is>
      </c>
      <c r="B26" s="14">
        <f>IF(B22="","",ROUND(B22*0.82/1000,2))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4">
    <mergeCell ref="A21:E21"/>
    <mergeCell ref="A3:B3"/>
    <mergeCell ref="A1:E1"/>
    <mergeCell ref="C3:E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48" customWidth="1" min="5" max="5"/>
    <col width="18" customWidth="1" min="6" max="6"/>
  </cols>
  <sheetData>
    <row r="1">
      <c r="A1" s="15" t="inlineStr">
        <is>
          <t>Field Name</t>
        </is>
      </c>
      <c r="B1" s="15" t="inlineStr">
        <is>
          <t>Cell Address</t>
        </is>
      </c>
      <c r="C1" s="15" t="inlineStr">
        <is>
          <t>Data Type</t>
        </is>
      </c>
      <c r="D1" s="15" t="inlineStr">
        <is>
          <t>Required</t>
        </is>
      </c>
      <c r="E1" s="15" t="inlineStr">
        <is>
          <t>Description</t>
        </is>
      </c>
      <c r="F1" s="15" t="inlineStr">
        <is>
          <t>Number Format</t>
        </is>
      </c>
    </row>
    <row r="2">
      <c r="A2" s="16" t="inlineStr">
        <is>
          <t>consumer_name</t>
        </is>
      </c>
      <c r="B2" s="16" t="inlineStr">
        <is>
          <t>B4</t>
        </is>
      </c>
      <c r="C2" s="16" t="inlineStr">
        <is>
          <t>Text</t>
        </is>
      </c>
      <c r="D2" s="16" t="inlineStr">
        <is>
          <t>Yes</t>
        </is>
      </c>
      <c r="E2" s="17" t="inlineStr">
        <is>
          <t>Full name of electricity consumer as printed on bill</t>
        </is>
      </c>
      <c r="F2" s="16" t="inlineStr">
        <is>
          <t>@</t>
        </is>
      </c>
    </row>
    <row r="3">
      <c r="A3" s="16" t="inlineStr">
        <is>
          <t>consumer_number</t>
        </is>
      </c>
      <c r="B3" s="16" t="inlineStr">
        <is>
          <t>B5</t>
        </is>
      </c>
      <c r="C3" s="16" t="inlineStr">
        <is>
          <t>Text</t>
        </is>
      </c>
      <c r="D3" s="16" t="inlineStr">
        <is>
          <t>Yes</t>
        </is>
      </c>
      <c r="E3" s="17" t="inlineStr">
        <is>
          <t>MSEDCL consumer / account number</t>
        </is>
      </c>
      <c r="F3" s="16" t="inlineStr">
        <is>
          <t>@</t>
        </is>
      </c>
    </row>
    <row r="4">
      <c r="A4" s="16" t="inlineStr">
        <is>
          <t>billing_month</t>
        </is>
      </c>
      <c r="B4" s="16" t="inlineStr">
        <is>
          <t>B6</t>
        </is>
      </c>
      <c r="C4" s="16" t="inlineStr">
        <is>
          <t>Text</t>
        </is>
      </c>
      <c r="D4" s="16" t="inlineStr">
        <is>
          <t>Yes</t>
        </is>
      </c>
      <c r="E4" s="17" t="inlineStr">
        <is>
          <t>Billing month label from bill header</t>
        </is>
      </c>
      <c r="F4" s="16" t="inlineStr">
        <is>
          <t>@</t>
        </is>
      </c>
    </row>
    <row r="5">
      <c r="A5" s="16" t="inlineStr">
        <is>
          <t>billing_period</t>
        </is>
      </c>
      <c r="B5" s="16" t="inlineStr">
        <is>
          <t>B7</t>
        </is>
      </c>
      <c r="C5" s="16" t="inlineStr">
        <is>
          <t>Text</t>
        </is>
      </c>
      <c r="D5" s="16" t="inlineStr">
        <is>
          <t>No</t>
        </is>
      </c>
      <c r="E5" s="17" t="inlineStr">
        <is>
          <t>From–to billing period dates</t>
        </is>
      </c>
      <c r="F5" s="16" t="inlineStr">
        <is>
          <t>@</t>
        </is>
      </c>
    </row>
    <row r="6">
      <c r="A6" s="16" t="inlineStr">
        <is>
          <t>bill_date</t>
        </is>
      </c>
      <c r="B6" s="16" t="inlineStr">
        <is>
          <t>B8</t>
        </is>
      </c>
      <c r="C6" s="16" t="inlineStr">
        <is>
          <t>Date</t>
        </is>
      </c>
      <c r="D6" s="16" t="inlineStr">
        <is>
          <t>No</t>
        </is>
      </c>
      <c r="E6" s="17" t="inlineStr">
        <is>
          <t>Date the bill was issued</t>
        </is>
      </c>
      <c r="F6" s="16" t="inlineStr">
        <is>
          <t>DD-MMM-YYYY</t>
        </is>
      </c>
    </row>
    <row r="7">
      <c r="A7" s="16" t="inlineStr">
        <is>
          <t>due_date</t>
        </is>
      </c>
      <c r="B7" s="16" t="inlineStr">
        <is>
          <t>B9</t>
        </is>
      </c>
      <c r="C7" s="16" t="inlineStr">
        <is>
          <t>Date</t>
        </is>
      </c>
      <c r="D7" s="16" t="inlineStr">
        <is>
          <t>No</t>
        </is>
      </c>
      <c r="E7" s="17" t="inlineStr">
        <is>
          <t>Payment due date</t>
        </is>
      </c>
      <c r="F7" s="16" t="inlineStr">
        <is>
          <t>DD-MMM-YYYY</t>
        </is>
      </c>
    </row>
    <row r="8">
      <c r="A8" s="16" t="inlineStr">
        <is>
          <t>address</t>
        </is>
      </c>
      <c r="B8" s="16" t="inlineStr">
        <is>
          <t>B10</t>
        </is>
      </c>
      <c r="C8" s="16" t="inlineStr">
        <is>
          <t>Text</t>
        </is>
      </c>
      <c r="D8" s="16" t="inlineStr">
        <is>
          <t>No</t>
        </is>
      </c>
      <c r="E8" s="17" t="inlineStr">
        <is>
          <t>Consumer service address</t>
        </is>
      </c>
      <c r="F8" s="16" t="inlineStr">
        <is>
          <t>@</t>
        </is>
      </c>
    </row>
    <row r="9">
      <c r="A9" s="16" t="inlineStr">
        <is>
          <t>tariff_category</t>
        </is>
      </c>
      <c r="B9" s="16" t="inlineStr">
        <is>
          <t>B11</t>
        </is>
      </c>
      <c r="C9" s="16" t="inlineStr">
        <is>
          <t>Text</t>
        </is>
      </c>
      <c r="D9" s="16" t="inlineStr">
        <is>
          <t>No</t>
        </is>
      </c>
      <c r="E9" s="17" t="inlineStr">
        <is>
          <t>Tariff / category code (e.g. LT-I, HT-II)</t>
        </is>
      </c>
      <c r="F9" s="16" t="inlineStr">
        <is>
          <t>@</t>
        </is>
      </c>
    </row>
    <row r="10">
      <c r="A10" s="16" t="inlineStr">
        <is>
          <t>meter_number</t>
        </is>
      </c>
      <c r="B10" s="16" t="inlineStr">
        <is>
          <t>B12</t>
        </is>
      </c>
      <c r="C10" s="16" t="inlineStr">
        <is>
          <t>Text</t>
        </is>
      </c>
      <c r="D10" s="16" t="inlineStr">
        <is>
          <t>No</t>
        </is>
      </c>
      <c r="E10" s="17" t="inlineStr">
        <is>
          <t>Electricity meter serial number</t>
        </is>
      </c>
      <c r="F10" s="16" t="inlineStr">
        <is>
          <t>@</t>
        </is>
      </c>
    </row>
    <row r="11">
      <c r="A11" s="16" t="inlineStr">
        <is>
          <t>division</t>
        </is>
      </c>
      <c r="B11" s="16" t="inlineStr">
        <is>
          <t>B13</t>
        </is>
      </c>
      <c r="C11" s="16" t="inlineStr">
        <is>
          <t>Text</t>
        </is>
      </c>
      <c r="D11" s="16" t="inlineStr">
        <is>
          <t>No</t>
        </is>
      </c>
      <c r="E11" s="17" t="inlineStr">
        <is>
          <t>MSEDCL division name</t>
        </is>
      </c>
      <c r="F11" s="16" t="inlineStr">
        <is>
          <t>@</t>
        </is>
      </c>
    </row>
    <row r="12">
      <c r="A12" s="16" t="inlineStr">
        <is>
          <t>sub_division</t>
        </is>
      </c>
      <c r="B12" s="16" t="inlineStr">
        <is>
          <t>B14</t>
        </is>
      </c>
      <c r="C12" s="16" t="inlineStr">
        <is>
          <t>Text</t>
        </is>
      </c>
      <c r="D12" s="16" t="inlineStr">
        <is>
          <t>No</t>
        </is>
      </c>
      <c r="E12" s="17" t="inlineStr">
        <is>
          <t>MSEDCL sub-division name</t>
        </is>
      </c>
      <c r="F12" s="16" t="inlineStr">
        <is>
          <t>@</t>
        </is>
      </c>
    </row>
    <row r="13">
      <c r="A13" s="16" t="inlineStr">
        <is>
          <t>tariff_code</t>
        </is>
      </c>
      <c r="B13" s="16" t="inlineStr">
        <is>
          <t>B15</t>
        </is>
      </c>
      <c r="C13" s="16" t="inlineStr">
        <is>
          <t>Text</t>
        </is>
      </c>
      <c r="D13" s="16" t="inlineStr">
        <is>
          <t>No</t>
        </is>
      </c>
      <c r="E13" s="17" t="inlineStr">
        <is>
          <t>Internal tariff code if shown on bill</t>
        </is>
      </c>
      <c r="F13" s="16" t="inlineStr">
        <is>
          <t>@</t>
        </is>
      </c>
    </row>
    <row r="14">
      <c r="A14" s="16" t="inlineStr">
        <is>
          <t>contract_load</t>
        </is>
      </c>
      <c r="B14" s="16" t="inlineStr">
        <is>
          <t>D4</t>
        </is>
      </c>
      <c r="C14" s="16" t="inlineStr">
        <is>
          <t>Number</t>
        </is>
      </c>
      <c r="D14" s="16" t="inlineStr">
        <is>
          <t>No</t>
        </is>
      </c>
      <c r="E14" s="17" t="inlineStr">
        <is>
          <t>Contracted load in kW</t>
        </is>
      </c>
      <c r="F14" s="16" t="inlineStr">
        <is>
          <t>0.00" kW"</t>
        </is>
      </c>
    </row>
    <row r="15">
      <c r="A15" s="16" t="inlineStr">
        <is>
          <t>connected_load</t>
        </is>
      </c>
      <c r="B15" s="16" t="inlineStr">
        <is>
          <t>D5</t>
        </is>
      </c>
      <c r="C15" s="16" t="inlineStr">
        <is>
          <t>Number</t>
        </is>
      </c>
      <c r="D15" s="16" t="inlineStr">
        <is>
          <t>No</t>
        </is>
      </c>
      <c r="E15" s="17" t="inlineStr">
        <is>
          <t>Connected load in kW</t>
        </is>
      </c>
      <c r="F15" s="16" t="inlineStr">
        <is>
          <t>0.00" kW"</t>
        </is>
      </c>
    </row>
    <row r="16">
      <c r="A16" s="16" t="inlineStr">
        <is>
          <t>sanctioned_load</t>
        </is>
      </c>
      <c r="B16" s="16" t="inlineStr">
        <is>
          <t>D6</t>
        </is>
      </c>
      <c r="C16" s="16" t="inlineStr">
        <is>
          <t>Number</t>
        </is>
      </c>
      <c r="D16" s="16" t="inlineStr">
        <is>
          <t>No</t>
        </is>
      </c>
      <c r="E16" s="17" t="inlineStr">
        <is>
          <t>Sanctioned load in kW</t>
        </is>
      </c>
      <c r="F16" s="16" t="inlineStr">
        <is>
          <t>0.00" kW"</t>
        </is>
      </c>
    </row>
    <row r="17">
      <c r="A17" s="16" t="inlineStr">
        <is>
          <t>voltage</t>
        </is>
      </c>
      <c r="B17" s="16" t="inlineStr">
        <is>
          <t>D7</t>
        </is>
      </c>
      <c r="C17" s="16" t="inlineStr">
        <is>
          <t>Text</t>
        </is>
      </c>
      <c r="D17" s="16" t="inlineStr">
        <is>
          <t>No</t>
        </is>
      </c>
      <c r="E17" s="17" t="inlineStr">
        <is>
          <t>Supply voltage level</t>
        </is>
      </c>
      <c r="F17" s="16" t="inlineStr">
        <is>
          <t>@</t>
        </is>
      </c>
    </row>
    <row r="18">
      <c r="A18" s="16" t="inlineStr">
        <is>
          <t>power_factor</t>
        </is>
      </c>
      <c r="B18" s="16" t="inlineStr">
        <is>
          <t>D8</t>
        </is>
      </c>
      <c r="C18" s="16" t="inlineStr">
        <is>
          <t>Number</t>
        </is>
      </c>
      <c r="D18" s="16" t="inlineStr">
        <is>
          <t>No</t>
        </is>
      </c>
      <c r="E18" s="17" t="inlineStr">
        <is>
          <t>Power factor (0–1 or percentage as printed)</t>
        </is>
      </c>
      <c r="F18" s="16" t="inlineStr">
        <is>
          <t>0.00</t>
        </is>
      </c>
    </row>
    <row r="19">
      <c r="A19" s="16" t="inlineStr">
        <is>
          <t>billing_cycle</t>
        </is>
      </c>
      <c r="B19" s="16" t="inlineStr">
        <is>
          <t>D9</t>
        </is>
      </c>
      <c r="C19" s="16" t="inlineStr">
        <is>
          <t>Text</t>
        </is>
      </c>
      <c r="D19" s="16" t="inlineStr">
        <is>
          <t>No</t>
        </is>
      </c>
      <c r="E19" s="17" t="inlineStr">
        <is>
          <t>Billing cycle frequency</t>
        </is>
      </c>
      <c r="F19" s="16" t="inlineStr">
        <is>
          <t>@</t>
        </is>
      </c>
    </row>
    <row r="20">
      <c r="A20" s="16" t="inlineStr">
        <is>
          <t>GST_number</t>
        </is>
      </c>
      <c r="B20" s="16" t="inlineStr">
        <is>
          <t>D10</t>
        </is>
      </c>
      <c r="C20" s="16" t="inlineStr">
        <is>
          <t>Text</t>
        </is>
      </c>
      <c r="D20" s="16" t="inlineStr">
        <is>
          <t>No</t>
        </is>
      </c>
      <c r="E20" s="17" t="inlineStr">
        <is>
          <t>GSTIN if present on bill</t>
        </is>
      </c>
      <c r="F20" s="16" t="inlineStr">
        <is>
          <t>@</t>
        </is>
      </c>
    </row>
    <row r="21">
      <c r="A21" s="16" t="inlineStr">
        <is>
          <t>previous_reading</t>
        </is>
      </c>
      <c r="B21" s="16" t="inlineStr">
        <is>
          <t>D11</t>
        </is>
      </c>
      <c r="C21" s="16" t="inlineStr">
        <is>
          <t>Number</t>
        </is>
      </c>
      <c r="D21" s="16" t="inlineStr">
        <is>
          <t>No</t>
        </is>
      </c>
      <c r="E21" s="17" t="inlineStr">
        <is>
          <t>Previous meter reading (kWh)</t>
        </is>
      </c>
      <c r="F21" s="16" t="inlineStr">
        <is>
          <t>#,##0" kWh"</t>
        </is>
      </c>
    </row>
    <row r="22">
      <c r="A22" s="16" t="inlineStr">
        <is>
          <t>units_consumed</t>
        </is>
      </c>
      <c r="B22" s="16" t="inlineStr">
        <is>
          <t>D12</t>
        </is>
      </c>
      <c r="C22" s="16" t="inlineStr">
        <is>
          <t>Number</t>
        </is>
      </c>
      <c r="D22" s="16" t="inlineStr">
        <is>
          <t>Yes</t>
        </is>
      </c>
      <c r="E22" s="17" t="inlineStr">
        <is>
          <t>Units consumed in billing period — drives solar sizing</t>
        </is>
      </c>
      <c r="F22" s="16" t="inlineStr">
        <is>
          <t>#,##0" kWh"</t>
        </is>
      </c>
    </row>
    <row r="23">
      <c r="A23" s="16" t="inlineStr">
        <is>
          <t>current_reading</t>
        </is>
      </c>
      <c r="B23" s="16" t="inlineStr">
        <is>
          <t>D13</t>
        </is>
      </c>
      <c r="C23" s="16" t="inlineStr">
        <is>
          <t>Number</t>
        </is>
      </c>
      <c r="D23" s="16" t="inlineStr">
        <is>
          <t>No</t>
        </is>
      </c>
      <c r="E23" s="17" t="inlineStr">
        <is>
          <t>Current meter reading (kWh)</t>
        </is>
      </c>
      <c r="F23" s="16" t="inlineStr">
        <is>
          <t>#,##0" kWh"</t>
        </is>
      </c>
    </row>
    <row r="24">
      <c r="A24" s="16" t="inlineStr">
        <is>
          <t>bill_amount</t>
        </is>
      </c>
      <c r="B24" s="16" t="inlineStr">
        <is>
          <t>D14</t>
        </is>
      </c>
      <c r="C24" s="16" t="inlineStr">
        <is>
          <t>Currency</t>
        </is>
      </c>
      <c r="D24" s="16" t="inlineStr">
        <is>
          <t>Yes</t>
        </is>
      </c>
      <c r="E24" s="17" t="inlineStr">
        <is>
          <t>Total bill amount in INR — drives savings estimate</t>
        </is>
      </c>
      <c r="F24" s="16" t="inlineStr">
        <is>
          <t>₹#,##0.00</t>
        </is>
      </c>
    </row>
    <row r="25">
      <c r="A25" s="16" t="inlineStr">
        <is>
          <t>fixed_charges</t>
        </is>
      </c>
      <c r="B25" s="16" t="inlineStr">
        <is>
          <t>D15</t>
        </is>
      </c>
      <c r="C25" s="16" t="inlineStr">
        <is>
          <t>Currency</t>
        </is>
      </c>
      <c r="D25" s="16" t="inlineStr">
        <is>
          <t>No</t>
        </is>
      </c>
      <c r="E25" s="17" t="inlineStr">
        <is>
          <t>Fixed / demand charges component</t>
        </is>
      </c>
      <c r="F25" s="16" t="inlineStr">
        <is>
          <t>₹#,##0.00</t>
        </is>
      </c>
    </row>
    <row r="26">
      <c r="A26" s="16" t="inlineStr">
        <is>
          <t>energy_charges</t>
        </is>
      </c>
      <c r="B26" s="16" t="inlineStr">
        <is>
          <t>D16</t>
        </is>
      </c>
      <c r="C26" s="16" t="inlineStr">
        <is>
          <t>Currency</t>
        </is>
      </c>
      <c r="D26" s="16" t="inlineStr">
        <is>
          <t>No</t>
        </is>
      </c>
      <c r="E26" s="17" t="inlineStr">
        <is>
          <t>Energy charges component</t>
        </is>
      </c>
      <c r="F26" s="16" t="inlineStr">
        <is>
          <t>₹#,##0.00</t>
        </is>
      </c>
    </row>
    <row r="27">
      <c r="A27" s="16" t="inlineStr">
        <is>
          <t>fuel_adjustment</t>
        </is>
      </c>
      <c r="B27" s="16" t="inlineStr">
        <is>
          <t>D17</t>
        </is>
      </c>
      <c r="C27" s="16" t="inlineStr">
        <is>
          <t>Currency</t>
        </is>
      </c>
      <c r="D27" s="16" t="inlineStr">
        <is>
          <t>No</t>
        </is>
      </c>
      <c r="E27" s="17" t="inlineStr">
        <is>
          <t>Fuel adjustment / FCA charge</t>
        </is>
      </c>
      <c r="F27" s="16" t="inlineStr">
        <is>
          <t>₹#,##0.00</t>
        </is>
      </c>
    </row>
    <row r="28">
      <c r="A28" s="16" t="inlineStr">
        <is>
          <t>electricity_duty</t>
        </is>
      </c>
      <c r="B28" s="16" t="inlineStr">
        <is>
          <t>D18</t>
        </is>
      </c>
      <c r="C28" s="16" t="inlineStr">
        <is>
          <t>Currency</t>
        </is>
      </c>
      <c r="D28" s="16" t="inlineStr">
        <is>
          <t>No</t>
        </is>
      </c>
      <c r="E28" s="17" t="inlineStr">
        <is>
          <t>Electricity duty amount</t>
        </is>
      </c>
      <c r="F28" s="16" t="inlineStr">
        <is>
          <t>₹#,##0.00</t>
        </is>
      </c>
    </row>
    <row r="29">
      <c r="A29" s="16" t="inlineStr">
        <is>
          <t>tax_on_sale</t>
        </is>
      </c>
      <c r="B29" s="16" t="inlineStr">
        <is>
          <t>D19</t>
        </is>
      </c>
      <c r="C29" s="16" t="inlineStr">
        <is>
          <t>Currency</t>
        </is>
      </c>
      <c r="D29" s="16" t="inlineStr">
        <is>
          <t>No</t>
        </is>
      </c>
      <c r="E29" s="17" t="inlineStr">
        <is>
          <t>Tax on sale / other levies</t>
        </is>
      </c>
      <c r="F29" s="16" t="inlineStr">
        <is>
          <t>₹#,##0.00</t>
        </is>
      </c>
    </row>
    <row r="32">
      <c r="A32" s="18" t="inlineStr">
        <is>
          <t>FORMULA CELLS (DO NOT WRITE)</t>
        </is>
      </c>
    </row>
    <row r="33">
      <c r="A33" s="19" t="inlineStr">
        <is>
          <t>Cell Address</t>
        </is>
      </c>
      <c r="B33" s="19" t="inlineStr">
        <is>
          <t>Label</t>
        </is>
      </c>
      <c r="C33" s="19" t="inlineStr">
        <is>
          <t>Formula</t>
        </is>
      </c>
      <c r="D33" s="19" t="inlineStr">
        <is>
          <t>Description</t>
        </is>
      </c>
    </row>
    <row r="34">
      <c r="A34" t="inlineStr">
        <is>
          <t>B22</t>
        </is>
      </c>
      <c r="B34" t="inlineStr">
        <is>
          <t>Avg Monthly Consumption (kWh)</t>
        </is>
      </c>
      <c r="C34">
        <f>IF(D12="","",D12)</f>
        <v/>
      </c>
      <c r="D34" t="inlineStr">
        <is>
          <t>Mirrors units consumed for solar sizing</t>
        </is>
      </c>
    </row>
    <row r="35">
      <c r="A35" t="inlineStr">
        <is>
          <t>B23</t>
        </is>
      </c>
      <c r="B35" t="inlineStr">
        <is>
          <t>Recommended Solar Capacity (kW)</t>
        </is>
      </c>
      <c r="C35">
        <f>IF(B22="","",ROUND(B22/120,2))</f>
        <v/>
      </c>
      <c r="D35" t="inlineStr">
        <is>
          <t>Capacity = monthly kWh / 120 (standard rule of thumb)</t>
        </is>
      </c>
    </row>
    <row r="36">
      <c r="A36" t="inlineStr">
        <is>
          <t>B24</t>
        </is>
      </c>
      <c r="B36" t="inlineStr">
        <is>
          <t>Estimated Annual Savings (₹)</t>
        </is>
      </c>
      <c r="C36">
        <f>IF(OR(D12="",D14=""),"",D14*12)</f>
        <v/>
      </c>
      <c r="D36" t="inlineStr">
        <is>
          <t>Annual savings = monthly bill × 12</t>
        </is>
      </c>
    </row>
    <row r="37">
      <c r="A37" t="inlineStr">
        <is>
          <t>B25</t>
        </is>
      </c>
      <c r="B37" t="inlineStr">
        <is>
          <t>Payback Period (Years)</t>
        </is>
      </c>
      <c r="C37">
        <f>IF(B24="","",ROUND((B23*50000)/B24,1))</f>
        <v/>
      </c>
      <c r="D37" t="inlineStr">
        <is>
          <t>Payback = system cost (₹50k/kW) / annual savings</t>
        </is>
      </c>
    </row>
    <row r="38">
      <c r="A38" t="inlineStr">
        <is>
          <t>B26</t>
        </is>
      </c>
      <c r="B38" t="inlineStr">
        <is>
          <t>CO₂ Offset (tons/year)</t>
        </is>
      </c>
      <c r="C38">
        <f>IF(B22="","",ROUND(B22*0.82/1000,2))</f>
        <v/>
      </c>
      <c r="D38" t="inlineStr">
        <is>
          <t>CO₂ offset using 0.82 kg/kWh grid factor</t>
        </is>
      </c>
    </row>
  </sheetData>
  <mergeCells count="1"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2026-06-27T08:10:11Z</dcterms:created>
  <dcterms:modified xsi:type="dcterms:W3CDTF">2026-06-27T08:10:11Z</dcterms:modified>
</cp:coreProperties>
</file>